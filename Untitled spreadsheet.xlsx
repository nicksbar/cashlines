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</sheets>
  <definedNames>
    <definedName hidden="1" localSheetId="0" name="_xlnm._FilterDatabase">'2026'!$A$1:$P$20</definedName>
  </definedNames>
  <calcPr/>
</workbook>
</file>

<file path=xl/sharedStrings.xml><?xml version="1.0" encoding="utf-8"?>
<sst xmlns="http://schemas.openxmlformats.org/spreadsheetml/2006/main" count="62" uniqueCount="45">
  <si>
    <t>Company</t>
  </si>
  <si>
    <t>YTD</t>
  </si>
  <si>
    <t>Averages</t>
  </si>
  <si>
    <t>Paid With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</si>
  <si>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</si>
  <si>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</si>
  <si>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</si>
  <si>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</si>
  <si>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</si>
  <si>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</si>
  <si>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</si>
  <si>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</si>
  <si>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</si>
  <si>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</si>
  <si>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</si>
  <si>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</si>
  <si>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Stella's School</t>
  </si>
  <si>
    <t>Cash</t>
  </si>
  <si>
    <t>Stella's College Savings</t>
  </si>
  <si>
    <t>Yard</t>
  </si>
  <si>
    <t>SoFi Loan</t>
  </si>
  <si>
    <t>Discover</t>
  </si>
  <si>
    <t>Daughter</t>
  </si>
  <si>
    <t>Chase CC Southwest</t>
  </si>
  <si>
    <t>Chase CC Freedom</t>
  </si>
  <si>
    <t>Cash Out + Fees + Other</t>
  </si>
  <si>
    <t>T-Mobile</t>
  </si>
  <si>
    <t>Minet Fiber</t>
  </si>
  <si>
    <t>LesSchwab</t>
  </si>
  <si>
    <t>Progressive</t>
  </si>
  <si>
    <t>Google</t>
  </si>
  <si>
    <t>Github Copilot</t>
  </si>
  <si>
    <t>OpenAI</t>
  </si>
  <si>
    <t>Total</t>
  </si>
  <si>
    <t>Credit Card Expenses</t>
  </si>
  <si>
    <t>Cash Expenses</t>
  </si>
  <si>
    <t>Income Gross</t>
  </si>
  <si>
    <t>Taxes</t>
  </si>
  <si>
    <t>Pre-Tax Deductions</t>
  </si>
  <si>
    <t>Post-Tax Deductions</t>
  </si>
  <si>
    <t>Income Net</t>
  </si>
  <si>
    <t>Ratio</t>
  </si>
  <si>
    <t>Other Income</t>
  </si>
  <si>
    <t>Remaining</t>
  </si>
  <si>
    <t>CC SPENT UNLISTED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</si>
</sst>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0.0%"/>
    <numFmt numFmtId="166" formatCode="&quot;$&quot;#,##0"/>
  </numFmts>
  <fonts count="15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i/>
      <sz val="11.0"/>
      <color rgb="FF000000"/>
      <name val="Calibri"/>
    </font>
    <font>
      <color theme="1"/>
      <name val="Arial"/>
      <scheme val="minor"/>
    </font>
    <font>
      <u/>
      <sz val="11.0"/>
      <color rgb="FF0000FF"/>
      <name val="Calibri"/>
    </font>
    <font>
      <i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color theme="1"/>
      <name val="Din-2014"/>
    </font>
    <font>
      <sz val="11.0"/>
      <color theme="1"/>
      <name val="&quot;Source Sans Pro&quot;"/>
    </font>
    <font>
      <u/>
      <sz val="11.0"/>
      <color rgb="FF0000FF"/>
      <name val="Calibri"/>
    </font>
    <font>
      <u/>
      <color rgb="FF0000FF"/>
      <name val="Roboto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5" numFmtId="16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8" numFmtId="164" xfId="0" applyAlignment="1" applyFont="1" applyNumberFormat="1">
      <alignment readingOrder="0" shrinkToFit="0" vertical="bottom" wrapText="0"/>
    </xf>
    <xf borderId="0" fillId="0" fontId="8" numFmtId="164" xfId="0" applyAlignment="1" applyFont="1" applyNumberFormat="1">
      <alignment readingOrder="0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164" xfId="0" applyAlignment="1" applyFont="1" applyNumberFormat="1">
      <alignment horizontal="right" readingOrder="0" shrinkToFit="0" vertical="center" wrapText="0"/>
    </xf>
    <xf borderId="0" fillId="0" fontId="9" numFmtId="164" xfId="0" applyAlignment="1" applyFont="1" applyNumberFormat="1">
      <alignment readingOrder="0" shrinkToFit="0" vertical="center" wrapText="0"/>
    </xf>
    <xf borderId="0" fillId="0" fontId="9" numFmtId="164" xfId="0" applyAlignment="1" applyFont="1" applyNumberFormat="1">
      <alignment readingOrder="0" shrinkToFit="0" vertical="center" wrapText="0"/>
    </xf>
    <xf borderId="0" fillId="0" fontId="10" numFmtId="164" xfId="0" applyAlignment="1" applyFont="1" applyNumberFormat="1">
      <alignment readingOrder="0" shrinkToFit="0" vertical="center" wrapText="0"/>
    </xf>
    <xf borderId="0" fillId="0" fontId="11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 shrinkToFit="0" vertical="center" wrapText="0"/>
    </xf>
    <xf borderId="0" fillId="2" fontId="12" numFmtId="0" xfId="0" applyAlignment="1" applyFill="1" applyFont="1">
      <alignment readingOrder="0" shrinkToFit="0" vertical="bottom" wrapText="0"/>
    </xf>
    <xf borderId="0" fillId="2" fontId="7" numFmtId="164" xfId="0" applyAlignment="1" applyFont="1" applyNumberFormat="1">
      <alignment horizontal="right"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2" fontId="8" numFmtId="164" xfId="0" applyAlignment="1" applyFont="1" applyNumberFormat="1">
      <alignment horizontal="right" readingOrder="0" shrinkToFit="0" vertical="bottom" wrapText="0"/>
    </xf>
    <xf borderId="0" fillId="2" fontId="8" numFmtId="164" xfId="0" applyAlignment="1" applyFont="1" applyNumberFormat="1">
      <alignment readingOrder="0" shrinkToFit="0" vertical="bottom" wrapText="0"/>
    </xf>
    <xf borderId="0" fillId="2" fontId="5" numFmtId="164" xfId="0" applyAlignment="1" applyFont="1" applyNumberFormat="1">
      <alignment readingOrder="0" shrinkToFit="0" vertical="center" wrapText="0"/>
    </xf>
    <xf borderId="0" fillId="2" fontId="5" numFmtId="0" xfId="0" applyAlignment="1" applyFont="1">
      <alignment shrinkToFit="0" vertical="center" wrapText="0"/>
    </xf>
    <xf borderId="0" fillId="2" fontId="13" numFmtId="0" xfId="0" applyAlignment="1" applyFont="1">
      <alignment readingOrder="0" shrinkToFit="0" vertical="center" wrapText="0"/>
    </xf>
    <xf borderId="0" fillId="2" fontId="5" numFmtId="164" xfId="0" applyAlignment="1" applyFont="1" applyNumberFormat="1">
      <alignment readingOrder="0" shrinkToFit="0" vertical="center" wrapText="0"/>
    </xf>
    <xf borderId="0" fillId="2" fontId="5" numFmtId="164" xfId="0" applyAlignment="1" applyFont="1" applyNumberFormat="1">
      <alignment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5" numFmtId="164" xfId="0" applyAlignment="1" applyFont="1" applyNumberFormat="1">
      <alignment shrinkToFit="0" vertical="center" wrapText="0"/>
    </xf>
    <xf borderId="0" fillId="2" fontId="3" numFmtId="0" xfId="0" applyAlignment="1" applyFont="1">
      <alignment readingOrder="0" shrinkToFit="0" vertical="bottom" wrapText="0"/>
    </xf>
    <xf borderId="0" fillId="2" fontId="4" numFmtId="164" xfId="0" applyAlignment="1" applyFont="1" applyNumberFormat="1">
      <alignment horizontal="right" readingOrder="0" shrinkToFit="0" vertical="bottom" wrapText="0"/>
    </xf>
    <xf borderId="0" fillId="2" fontId="4" numFmtId="164" xfId="0" applyAlignment="1" applyFont="1" applyNumberFormat="1">
      <alignment horizontal="right" readingOrder="0" shrinkToFit="0" vertical="bottom" wrapText="0"/>
    </xf>
    <xf borderId="0" fillId="0" fontId="5" numFmtId="164" xfId="0" applyFont="1" applyNumberFormat="1"/>
    <xf borderId="0" fillId="0" fontId="14" numFmtId="164" xfId="0" applyFont="1" applyNumberFormat="1"/>
    <xf borderId="0" fillId="2" fontId="14" numFmtId="164" xfId="0" applyFont="1" applyNumberFormat="1"/>
    <xf borderId="0" fillId="0" fontId="5" numFmtId="164" xfId="0" applyFont="1" applyNumberFormat="1"/>
    <xf borderId="0" fillId="0" fontId="2" numFmtId="0" xfId="0" applyFont="1"/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165" xfId="0" applyFont="1" applyNumberFormat="1"/>
    <xf borderId="0" fillId="0" fontId="5" numFmtId="166" xfId="0" applyAlignment="1" applyFont="1" applyNumberFormat="1">
      <alignment readingOrder="0"/>
    </xf>
    <xf borderId="0" fillId="0" fontId="3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4" pivot="0" name="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20" displayName="Table1" name="Table1" id="1">
  <autoFilter ref="$A$1:$P$20"/>
  <tableColumns count="16">
    <tableColumn name="Company" id="1"/>
    <tableColumn name="YTD" id="2"/>
    <tableColumn name="Averages" id="3"/>
    <tableColumn name="Paid With" id="4"/>
    <tableColumn name="January" id="5"/>
    <tableColumn name="February" id="6"/>
    <tableColumn name="March" id="7"/>
    <tableColumn name="April" id="8"/>
    <tableColumn name="May" id="9"/>
    <tableColumn name="June" id="10"/>
    <tableColumn name="July" id="11"/>
    <tableColumn name="August" id="12"/>
    <tableColumn name="September" id="13"/>
    <tableColumn name="October" id="14"/>
    <tableColumn name="November" id="15"/>
    <tableColumn name="December" id="16"/>
  </tableColumns>
  <tableStyleInfo name="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ogin.sofi.com/" TargetMode="External"/><Relationship Id="rId2" Type="http://schemas.openxmlformats.org/officeDocument/2006/relationships/hyperlink" Target="https://www.t-mobile.com/" TargetMode="External"/><Relationship Id="rId3" Type="http://schemas.openxmlformats.org/officeDocument/2006/relationships/hyperlink" Target="https://minet.elation.biz/payment/" TargetMode="External"/><Relationship Id="rId4" Type="http://schemas.openxmlformats.org/officeDocument/2006/relationships/hyperlink" Target="https://ww2.e-billexpress.com/ebpp/LesSchwab/" TargetMode="External"/><Relationship Id="rId5" Type="http://schemas.openxmlformats.org/officeDocument/2006/relationships/hyperlink" Target="http://progressive.com/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75"/>
    <col customWidth="1" min="2" max="4" width="15.63"/>
    <col customWidth="1" min="5" max="5" width="14.63"/>
    <col customWidth="1" min="6" max="6" width="15.5"/>
    <col customWidth="1" min="7" max="7" width="13.63"/>
    <col customWidth="1" min="12" max="12" width="14.0"/>
    <col customWidth="1" min="13" max="13" width="17.13"/>
    <col customWidth="1" min="14" max="14" width="14.75"/>
    <col customWidth="1" min="15" max="15" width="13.25"/>
    <col customWidth="1" min="16" max="16" width="13.13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</row>
    <row r="2" ht="22.5" customHeight="1">
      <c r="A2" s="5" t="s">
        <v>16</v>
      </c>
      <c r="B2" s="6">
        <f t="shared" ref="B2:B19" si="1">SUM(E2:P2)</f>
        <v>0</v>
      </c>
      <c r="C2" s="6"/>
      <c r="D2" s="7" t="s">
        <v>17</v>
      </c>
      <c r="E2" s="8"/>
      <c r="F2" s="9"/>
      <c r="G2" s="9"/>
      <c r="H2" s="9"/>
      <c r="I2" s="8"/>
      <c r="J2" s="9"/>
      <c r="K2" s="9"/>
      <c r="L2" s="9"/>
      <c r="M2" s="9"/>
      <c r="N2" s="10"/>
    </row>
    <row r="3" ht="22.5" customHeight="1">
      <c r="A3" s="5" t="s">
        <v>18</v>
      </c>
      <c r="B3" s="6">
        <f t="shared" si="1"/>
        <v>0</v>
      </c>
      <c r="C3" s="6"/>
      <c r="D3" s="7" t="s">
        <v>17</v>
      </c>
      <c r="E3" s="11"/>
      <c r="F3" s="9"/>
      <c r="G3" s="9"/>
      <c r="H3" s="9"/>
      <c r="I3" s="8"/>
      <c r="J3" s="9"/>
      <c r="K3" s="9"/>
      <c r="L3" s="9"/>
      <c r="M3" s="9"/>
      <c r="N3" s="9"/>
      <c r="O3" s="12"/>
    </row>
    <row r="4" ht="22.5" customHeight="1">
      <c r="A4" s="5" t="s">
        <v>19</v>
      </c>
      <c r="B4" s="6">
        <f t="shared" si="1"/>
        <v>0</v>
      </c>
      <c r="C4" s="6"/>
      <c r="D4" s="7" t="s">
        <v>17</v>
      </c>
      <c r="E4" s="11"/>
      <c r="F4" s="9"/>
      <c r="G4" s="9"/>
      <c r="H4" s="9"/>
      <c r="I4" s="8"/>
      <c r="J4" s="9"/>
      <c r="K4" s="9"/>
      <c r="L4" s="9"/>
      <c r="M4" s="9"/>
      <c r="N4" s="9"/>
      <c r="O4" s="12"/>
    </row>
    <row r="5" ht="22.5" customHeight="1">
      <c r="A5" s="13" t="s">
        <v>20</v>
      </c>
      <c r="B5" s="14">
        <f t="shared" si="1"/>
        <v>0</v>
      </c>
      <c r="C5" s="14"/>
      <c r="D5" s="15" t="s">
        <v>17</v>
      </c>
      <c r="E5" s="16"/>
      <c r="F5" s="17"/>
      <c r="G5" s="17"/>
      <c r="H5" s="17"/>
      <c r="I5" s="18"/>
      <c r="J5" s="17"/>
      <c r="K5" s="17"/>
      <c r="L5" s="17"/>
      <c r="M5" s="17"/>
      <c r="N5" s="17"/>
      <c r="O5" s="19"/>
    </row>
    <row r="6" ht="22.5" customHeight="1">
      <c r="A6" s="20"/>
      <c r="B6" s="14">
        <f t="shared" si="1"/>
        <v>0</v>
      </c>
      <c r="C6" s="14"/>
      <c r="D6" s="15" t="s">
        <v>17</v>
      </c>
      <c r="E6" s="18"/>
      <c r="F6" s="17"/>
      <c r="G6" s="17"/>
      <c r="H6" s="17"/>
      <c r="I6" s="18"/>
      <c r="J6" s="17"/>
      <c r="K6" s="17"/>
      <c r="L6" s="17"/>
      <c r="M6" s="17"/>
      <c r="N6" s="10"/>
    </row>
    <row r="7" ht="22.5" customHeight="1">
      <c r="A7" s="20"/>
      <c r="B7" s="14">
        <f t="shared" si="1"/>
        <v>0</v>
      </c>
      <c r="C7" s="14"/>
      <c r="D7" s="15" t="s">
        <v>17</v>
      </c>
      <c r="E7" s="18"/>
      <c r="F7" s="17"/>
      <c r="G7" s="17"/>
      <c r="H7" s="17"/>
      <c r="I7" s="18"/>
      <c r="J7" s="17"/>
      <c r="K7" s="17"/>
      <c r="L7" s="17"/>
      <c r="M7" s="17"/>
      <c r="N7" s="10"/>
    </row>
    <row r="8" ht="22.5" customHeight="1">
      <c r="A8" s="20" t="s">
        <v>21</v>
      </c>
      <c r="B8" s="14">
        <f t="shared" si="1"/>
        <v>0</v>
      </c>
      <c r="C8" s="14"/>
      <c r="D8" s="15" t="s">
        <v>17</v>
      </c>
      <c r="E8" s="21"/>
      <c r="F8" s="22"/>
      <c r="G8" s="17"/>
      <c r="H8" s="17"/>
      <c r="I8" s="23"/>
      <c r="J8" s="17"/>
      <c r="K8" s="17"/>
      <c r="L8" s="24"/>
      <c r="M8" s="10"/>
      <c r="N8" s="10"/>
    </row>
    <row r="9" ht="22.5" customHeight="1">
      <c r="A9" s="20" t="s">
        <v>22</v>
      </c>
      <c r="B9" s="14">
        <f t="shared" si="1"/>
        <v>0</v>
      </c>
      <c r="C9" s="14"/>
      <c r="D9" s="15" t="s">
        <v>17</v>
      </c>
      <c r="E9" s="16"/>
      <c r="F9" s="25"/>
      <c r="G9" s="17"/>
      <c r="H9" s="17"/>
      <c r="I9" s="16"/>
      <c r="J9" s="17"/>
      <c r="K9" s="17"/>
      <c r="L9" s="25"/>
      <c r="M9" s="17"/>
      <c r="N9" s="25"/>
      <c r="Q9" s="26"/>
    </row>
    <row r="10" ht="22.5" customHeight="1">
      <c r="A10" s="20" t="s">
        <v>23</v>
      </c>
      <c r="B10" s="14">
        <f t="shared" si="1"/>
        <v>0</v>
      </c>
      <c r="C10" s="14"/>
      <c r="D10" s="15" t="s">
        <v>17</v>
      </c>
      <c r="E10" s="18"/>
      <c r="F10" s="17"/>
      <c r="G10" s="17"/>
      <c r="H10" s="17"/>
      <c r="I10" s="18"/>
      <c r="J10" s="17"/>
      <c r="K10" s="17"/>
      <c r="L10" s="17"/>
      <c r="M10" s="17"/>
      <c r="N10" s="10"/>
    </row>
    <row r="11" ht="22.5" customHeight="1">
      <c r="A11" s="20" t="s">
        <v>24</v>
      </c>
      <c r="B11" s="14">
        <f t="shared" si="1"/>
        <v>0</v>
      </c>
      <c r="C11" s="14"/>
      <c r="D11" s="15" t="s">
        <v>17</v>
      </c>
      <c r="E11" s="18"/>
      <c r="F11" s="17"/>
      <c r="G11" s="17"/>
      <c r="H11" s="17"/>
      <c r="I11" s="18"/>
      <c r="J11" s="17"/>
      <c r="K11" s="27"/>
      <c r="L11" s="17"/>
      <c r="M11" s="17"/>
      <c r="N11" s="27"/>
    </row>
    <row r="12" ht="22.5" customHeight="1">
      <c r="A12" s="20" t="s">
        <v>25</v>
      </c>
      <c r="B12" s="14">
        <f t="shared" si="1"/>
        <v>0</v>
      </c>
      <c r="C12" s="14"/>
      <c r="D12" s="15" t="s">
        <v>17</v>
      </c>
      <c r="E12" s="18"/>
      <c r="F12" s="17"/>
      <c r="G12" s="17"/>
      <c r="H12" s="17"/>
      <c r="I12" s="18"/>
      <c r="J12" s="17"/>
      <c r="K12" s="17"/>
      <c r="L12" s="17"/>
      <c r="M12" s="17"/>
      <c r="N12" s="17"/>
    </row>
    <row r="13" ht="22.5" customHeight="1">
      <c r="A13" s="28" t="s">
        <v>26</v>
      </c>
      <c r="B13" s="29">
        <f t="shared" si="1"/>
        <v>0</v>
      </c>
      <c r="C13" s="29"/>
      <c r="D13" s="30" t="s">
        <v>24</v>
      </c>
      <c r="E13" s="31"/>
      <c r="F13" s="32"/>
      <c r="G13" s="32"/>
      <c r="H13" s="32"/>
      <c r="I13" s="31"/>
      <c r="J13" s="32"/>
      <c r="K13" s="32"/>
      <c r="L13" s="32"/>
      <c r="M13" s="32"/>
      <c r="N13" s="33"/>
      <c r="O13" s="34"/>
      <c r="P13" s="34"/>
    </row>
    <row r="14" ht="22.5" customHeight="1">
      <c r="A14" s="28" t="s">
        <v>27</v>
      </c>
      <c r="B14" s="29">
        <f t="shared" si="1"/>
        <v>0</v>
      </c>
      <c r="C14" s="29"/>
      <c r="D14" s="30" t="s">
        <v>24</v>
      </c>
      <c r="E14" s="31"/>
      <c r="F14" s="32"/>
      <c r="G14" s="32"/>
      <c r="H14" s="32"/>
      <c r="I14" s="31"/>
      <c r="J14" s="32"/>
      <c r="K14" s="32"/>
      <c r="L14" s="32"/>
      <c r="M14" s="32"/>
      <c r="N14" s="32"/>
      <c r="O14" s="34"/>
      <c r="P14" s="34"/>
    </row>
    <row r="15" ht="22.5" customHeight="1">
      <c r="A15" s="35" t="s">
        <v>28</v>
      </c>
      <c r="B15" s="29">
        <f t="shared" si="1"/>
        <v>0</v>
      </c>
      <c r="C15" s="29"/>
      <c r="D15" s="30" t="s">
        <v>24</v>
      </c>
      <c r="E15" s="36"/>
      <c r="F15" s="33"/>
      <c r="G15" s="33"/>
      <c r="H15" s="33"/>
      <c r="I15" s="36"/>
      <c r="J15" s="33"/>
      <c r="K15" s="33"/>
      <c r="L15" s="33"/>
      <c r="M15" s="33"/>
      <c r="N15" s="33"/>
      <c r="O15" s="34"/>
      <c r="P15" s="34"/>
    </row>
    <row r="16" ht="22.5" customHeight="1">
      <c r="A16" s="35" t="s">
        <v>29</v>
      </c>
      <c r="B16" s="29">
        <f t="shared" si="1"/>
        <v>0</v>
      </c>
      <c r="C16" s="29"/>
      <c r="D16" s="30" t="s">
        <v>24</v>
      </c>
      <c r="E16" s="36"/>
      <c r="F16" s="33"/>
      <c r="G16" s="33"/>
      <c r="H16" s="33"/>
      <c r="I16" s="36"/>
      <c r="J16" s="33"/>
      <c r="K16" s="33"/>
      <c r="L16" s="37"/>
      <c r="M16" s="33"/>
      <c r="N16" s="37"/>
      <c r="O16" s="34"/>
      <c r="P16" s="34"/>
    </row>
    <row r="17" ht="22.5" customHeight="1">
      <c r="A17" s="38" t="s">
        <v>30</v>
      </c>
      <c r="B17" s="29">
        <f t="shared" si="1"/>
        <v>0</v>
      </c>
      <c r="C17" s="29"/>
      <c r="D17" s="30" t="s">
        <v>24</v>
      </c>
      <c r="E17" s="36"/>
      <c r="F17" s="37"/>
      <c r="G17" s="37"/>
      <c r="H17" s="37"/>
      <c r="I17" s="39"/>
      <c r="J17" s="37"/>
      <c r="K17" s="37"/>
      <c r="L17" s="37"/>
      <c r="M17" s="33"/>
      <c r="N17" s="37"/>
      <c r="O17" s="34"/>
      <c r="P17" s="34"/>
    </row>
    <row r="18" ht="22.5" customHeight="1">
      <c r="A18" s="38" t="s">
        <v>31</v>
      </c>
      <c r="B18" s="29">
        <f t="shared" si="1"/>
        <v>0</v>
      </c>
      <c r="C18" s="29"/>
      <c r="D18" s="30" t="s">
        <v>24</v>
      </c>
      <c r="E18" s="36"/>
      <c r="F18" s="37"/>
      <c r="G18" s="37"/>
      <c r="H18" s="33"/>
      <c r="I18" s="36"/>
      <c r="J18" s="33"/>
      <c r="K18" s="33"/>
      <c r="L18" s="33"/>
      <c r="M18" s="33"/>
      <c r="N18" s="33"/>
      <c r="O18" s="34"/>
      <c r="P18" s="34"/>
    </row>
    <row r="19" ht="22.5" customHeight="1">
      <c r="A19" s="30" t="s">
        <v>32</v>
      </c>
      <c r="B19" s="29">
        <f t="shared" si="1"/>
        <v>0</v>
      </c>
      <c r="C19" s="29"/>
      <c r="D19" s="30" t="s">
        <v>24</v>
      </c>
      <c r="E19" s="31"/>
      <c r="F19" s="32"/>
      <c r="G19" s="32"/>
      <c r="H19" s="32"/>
      <c r="I19" s="31"/>
      <c r="J19" s="32"/>
      <c r="K19" s="32"/>
      <c r="L19" s="32"/>
      <c r="M19" s="32"/>
      <c r="N19" s="32"/>
      <c r="O19" s="34"/>
      <c r="P19" s="34"/>
    </row>
    <row r="20" ht="22.5" customHeight="1">
      <c r="A20" s="40" t="s">
        <v>33</v>
      </c>
      <c r="B20" s="41">
        <f>SUMIF(D2:D19, "Cash",B2:B19)</f>
        <v>0</v>
      </c>
      <c r="C20" s="41"/>
      <c r="D20" s="41"/>
      <c r="E20" s="42">
        <f t="shared" ref="E20:P20" si="2">SUMIF(D2:D19, "Cash",E2:E19)</f>
        <v>0</v>
      </c>
      <c r="F20" s="41">
        <f t="shared" si="2"/>
        <v>0</v>
      </c>
      <c r="G20" s="41">
        <f t="shared" si="2"/>
        <v>0</v>
      </c>
      <c r="H20" s="41">
        <f t="shared" si="2"/>
        <v>0</v>
      </c>
      <c r="I20" s="42">
        <f t="shared" si="2"/>
        <v>0</v>
      </c>
      <c r="J20" s="41">
        <f t="shared" si="2"/>
        <v>0</v>
      </c>
      <c r="K20" s="41">
        <f t="shared" si="2"/>
        <v>0</v>
      </c>
      <c r="L20" s="41">
        <f t="shared" si="2"/>
        <v>0</v>
      </c>
      <c r="M20" s="41">
        <f t="shared" si="2"/>
        <v>0</v>
      </c>
      <c r="N20" s="41">
        <f t="shared" si="2"/>
        <v>0</v>
      </c>
      <c r="O20" s="42">
        <f t="shared" si="2"/>
        <v>0</v>
      </c>
      <c r="P20" s="42">
        <f t="shared" si="2"/>
        <v>0</v>
      </c>
    </row>
    <row r="21">
      <c r="A21" s="26"/>
      <c r="B21" s="43"/>
      <c r="C21" s="43"/>
      <c r="D21" s="43"/>
      <c r="E21" s="43"/>
      <c r="F21" s="43"/>
      <c r="G21" s="43"/>
      <c r="H21" s="44"/>
      <c r="I21" s="44"/>
      <c r="J21" s="44"/>
      <c r="K21" s="44"/>
      <c r="L21" s="44"/>
      <c r="M21" s="44"/>
      <c r="N21" s="44"/>
      <c r="O21" s="44"/>
      <c r="P21" s="44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>
      <c r="A22" s="26" t="s">
        <v>34</v>
      </c>
      <c r="B22" s="43">
        <f t="shared" ref="B22:B28" si="3">SUM(E22:P22)</f>
        <v>0</v>
      </c>
      <c r="C22" s="43"/>
      <c r="D22" s="43"/>
      <c r="E22" s="45">
        <f>SUMIF(D2:D19,"&lt;&gt;Cash",E2:E19)</f>
        <v>0</v>
      </c>
      <c r="F22" s="45">
        <f>SUMIF(D2:D19,"&lt;&gt;Cash",F2:F19)</f>
        <v>0</v>
      </c>
      <c r="G22" s="45">
        <f>SUMIF(D2:D19,"&lt;&gt;Cash",G2:G19)</f>
        <v>0</v>
      </c>
      <c r="H22" s="45">
        <f>SUMIF(D2:D19,"&lt;&gt;Cash",H2:H19)</f>
        <v>0</v>
      </c>
      <c r="I22" s="45">
        <f>SUMIF(D2:D19,"&lt;&gt;Cash",I2:I19)</f>
        <v>0</v>
      </c>
      <c r="J22" s="45">
        <f>SUMIF(D2:D19,"&lt;&gt;Cash",J2:J19)</f>
        <v>0</v>
      </c>
      <c r="K22" s="45">
        <f>SUMIF(D2:D19,"&lt;&gt;Cash",K2:K19)</f>
        <v>0</v>
      </c>
      <c r="L22" s="45">
        <f>SUMIF(D2:D19,"&lt;&gt;Cash",L2:L19)</f>
        <v>0</v>
      </c>
      <c r="M22" s="45">
        <f>SUMIF(D2:D19,"&lt;&gt;Cash",M2:M19)</f>
        <v>0</v>
      </c>
      <c r="N22" s="45">
        <f>SUMIF(D2:D19,"&lt;&gt;Cash",N2:N19)</f>
        <v>0</v>
      </c>
      <c r="O22" s="45">
        <f>SUMIF(D2:D19,"&lt;&gt;Cash",O2:O19)</f>
        <v>0</v>
      </c>
      <c r="P22" s="45">
        <f>SUMIF(D2:D19,"&lt;&gt;Cash",P2:P19)</f>
        <v>0</v>
      </c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>
      <c r="A23" s="26" t="s">
        <v>35</v>
      </c>
      <c r="B23" s="43">
        <f t="shared" si="3"/>
        <v>0</v>
      </c>
      <c r="E23" s="43">
        <f>SUMIF(D2:D19, "Cash",E2:E19)</f>
        <v>0</v>
      </c>
      <c r="F23" s="46">
        <f t="shared" ref="F23:G23" si="4">SUM(F2:F22)</f>
        <v>0</v>
      </c>
      <c r="G23" s="46">
        <f t="shared" si="4"/>
        <v>0</v>
      </c>
      <c r="H23" s="43">
        <f t="shared" ref="H23:P23" si="5">SUM(H2:H19)-(H22)</f>
        <v>0</v>
      </c>
      <c r="I23" s="43">
        <f t="shared" si="5"/>
        <v>0</v>
      </c>
      <c r="J23" s="43">
        <f t="shared" si="5"/>
        <v>0</v>
      </c>
      <c r="K23" s="43">
        <f t="shared" si="5"/>
        <v>0</v>
      </c>
      <c r="L23" s="43">
        <f t="shared" si="5"/>
        <v>0</v>
      </c>
      <c r="M23" s="43">
        <f t="shared" si="5"/>
        <v>0</v>
      </c>
      <c r="N23" s="43">
        <f t="shared" si="5"/>
        <v>0</v>
      </c>
      <c r="O23" s="43">
        <f t="shared" si="5"/>
        <v>0</v>
      </c>
      <c r="P23" s="43">
        <f t="shared" si="5"/>
        <v>0</v>
      </c>
      <c r="Z23" s="47"/>
      <c r="AA23" s="47"/>
    </row>
    <row r="24">
      <c r="A24" s="26" t="s">
        <v>36</v>
      </c>
      <c r="B24" s="43">
        <f t="shared" si="3"/>
        <v>0</v>
      </c>
      <c r="E24" s="48">
        <v>0.0</v>
      </c>
      <c r="F24" s="48">
        <v>0.0</v>
      </c>
      <c r="G24" s="48">
        <v>0.0</v>
      </c>
      <c r="H24" s="48">
        <v>0.0</v>
      </c>
      <c r="I24" s="48">
        <v>0.0</v>
      </c>
      <c r="J24" s="48">
        <v>0.0</v>
      </c>
      <c r="K24" s="48">
        <v>0.0</v>
      </c>
      <c r="L24" s="48">
        <v>0.0</v>
      </c>
      <c r="M24" s="48">
        <v>0.0</v>
      </c>
      <c r="N24" s="48">
        <v>0.0</v>
      </c>
      <c r="O24" s="48">
        <v>0.0</v>
      </c>
      <c r="P24" s="48">
        <v>0.0</v>
      </c>
      <c r="Z24" s="47"/>
      <c r="AA24" s="47"/>
    </row>
    <row r="25">
      <c r="A25" s="49" t="s">
        <v>37</v>
      </c>
      <c r="B25" s="43">
        <f t="shared" si="3"/>
        <v>0</v>
      </c>
      <c r="E25" s="48">
        <v>0.0</v>
      </c>
      <c r="F25" s="48">
        <v>0.0</v>
      </c>
      <c r="G25" s="48">
        <v>0.0</v>
      </c>
      <c r="H25" s="48">
        <v>0.0</v>
      </c>
      <c r="I25" s="48">
        <v>0.0</v>
      </c>
      <c r="J25" s="48">
        <v>0.0</v>
      </c>
      <c r="K25" s="48">
        <v>0.0</v>
      </c>
      <c r="L25" s="48">
        <v>0.0</v>
      </c>
      <c r="M25" s="48">
        <v>0.0</v>
      </c>
      <c r="N25" s="48">
        <v>0.0</v>
      </c>
      <c r="O25" s="48">
        <v>0.0</v>
      </c>
      <c r="P25" s="48">
        <v>0.0</v>
      </c>
      <c r="Z25" s="47"/>
      <c r="AA25" s="47"/>
    </row>
    <row r="26">
      <c r="A26" s="26" t="s">
        <v>38</v>
      </c>
      <c r="B26" s="43">
        <f t="shared" si="3"/>
        <v>0</v>
      </c>
      <c r="E26" s="48">
        <v>0.0</v>
      </c>
      <c r="F26" s="48">
        <v>0.0</v>
      </c>
      <c r="G26" s="48">
        <v>0.0</v>
      </c>
      <c r="H26" s="48">
        <v>0.0</v>
      </c>
      <c r="I26" s="48">
        <v>0.0</v>
      </c>
      <c r="J26" s="48">
        <v>0.0</v>
      </c>
      <c r="K26" s="48">
        <v>0.0</v>
      </c>
      <c r="L26" s="48">
        <v>0.0</v>
      </c>
      <c r="M26" s="48">
        <v>0.0</v>
      </c>
      <c r="N26" s="48">
        <v>0.0</v>
      </c>
      <c r="O26" s="48">
        <v>0.0</v>
      </c>
      <c r="P26" s="48">
        <v>0.0</v>
      </c>
      <c r="Z26" s="47"/>
      <c r="AA26" s="47"/>
    </row>
    <row r="27">
      <c r="A27" s="26" t="s">
        <v>39</v>
      </c>
      <c r="B27" s="43">
        <f t="shared" si="3"/>
        <v>0</v>
      </c>
      <c r="E27" s="48">
        <v>0.0</v>
      </c>
      <c r="F27" s="48">
        <v>0.0</v>
      </c>
      <c r="G27" s="48">
        <v>0.0</v>
      </c>
      <c r="H27" s="48">
        <v>0.0</v>
      </c>
      <c r="I27" s="48">
        <v>0.0</v>
      </c>
      <c r="J27" s="48">
        <v>0.0</v>
      </c>
      <c r="K27" s="48">
        <v>0.0</v>
      </c>
      <c r="L27" s="48">
        <v>0.0</v>
      </c>
      <c r="M27" s="48">
        <v>0.0</v>
      </c>
      <c r="N27" s="48">
        <v>0.0</v>
      </c>
      <c r="O27" s="48">
        <v>0.0</v>
      </c>
      <c r="P27" s="48">
        <v>0.0</v>
      </c>
      <c r="Z27" s="47"/>
      <c r="AA27" s="47"/>
    </row>
    <row r="28">
      <c r="A28" s="26" t="s">
        <v>40</v>
      </c>
      <c r="B28" s="43">
        <f t="shared" si="3"/>
        <v>0</v>
      </c>
      <c r="E28" s="43">
        <f t="shared" ref="E28:P28" si="6">SUM(E24:E27)</f>
        <v>0</v>
      </c>
      <c r="F28" s="43">
        <f t="shared" si="6"/>
        <v>0</v>
      </c>
      <c r="G28" s="43">
        <f t="shared" si="6"/>
        <v>0</v>
      </c>
      <c r="H28" s="43">
        <f t="shared" si="6"/>
        <v>0</v>
      </c>
      <c r="I28" s="43">
        <f t="shared" si="6"/>
        <v>0</v>
      </c>
      <c r="J28" s="43">
        <f t="shared" si="6"/>
        <v>0</v>
      </c>
      <c r="K28" s="43">
        <f t="shared" si="6"/>
        <v>0</v>
      </c>
      <c r="L28" s="43">
        <f t="shared" si="6"/>
        <v>0</v>
      </c>
      <c r="M28" s="43">
        <f t="shared" si="6"/>
        <v>0</v>
      </c>
      <c r="N28" s="43">
        <f t="shared" si="6"/>
        <v>0</v>
      </c>
      <c r="O28" s="43">
        <f t="shared" si="6"/>
        <v>0</v>
      </c>
      <c r="P28" s="43">
        <f t="shared" si="6"/>
        <v>0</v>
      </c>
      <c r="Z28" s="47"/>
      <c r="AA28" s="47"/>
    </row>
    <row r="29">
      <c r="A29" s="50" t="s">
        <v>41</v>
      </c>
      <c r="B29" s="51" t="str">
        <f>B28/B24</f>
        <v>#DIV/0!</v>
      </c>
      <c r="C29" s="51"/>
      <c r="D29" s="51"/>
      <c r="E29" s="51" t="str">
        <f t="shared" ref="E29:P29" si="7">E28/E24</f>
        <v>#DIV/0!</v>
      </c>
      <c r="F29" s="51" t="str">
        <f t="shared" si="7"/>
        <v>#DIV/0!</v>
      </c>
      <c r="G29" s="51" t="str">
        <f t="shared" si="7"/>
        <v>#DIV/0!</v>
      </c>
      <c r="H29" s="51" t="str">
        <f t="shared" si="7"/>
        <v>#DIV/0!</v>
      </c>
      <c r="I29" s="51" t="str">
        <f t="shared" si="7"/>
        <v>#DIV/0!</v>
      </c>
      <c r="J29" s="51" t="str">
        <f t="shared" si="7"/>
        <v>#DIV/0!</v>
      </c>
      <c r="K29" s="51" t="str">
        <f t="shared" si="7"/>
        <v>#DIV/0!</v>
      </c>
      <c r="L29" s="51" t="str">
        <f t="shared" si="7"/>
        <v>#DIV/0!</v>
      </c>
      <c r="M29" s="51" t="str">
        <f t="shared" si="7"/>
        <v>#DIV/0!</v>
      </c>
      <c r="N29" s="51" t="str">
        <f t="shared" si="7"/>
        <v>#DIV/0!</v>
      </c>
      <c r="O29" s="51" t="str">
        <f t="shared" si="7"/>
        <v>#DIV/0!</v>
      </c>
      <c r="P29" s="51" t="str">
        <f t="shared" si="7"/>
        <v>#DIV/0!</v>
      </c>
      <c r="Z29" s="47"/>
      <c r="AA29" s="47"/>
    </row>
    <row r="30">
      <c r="A30" s="50"/>
      <c r="E30" s="43"/>
      <c r="Z30" s="47"/>
      <c r="AA30" s="47"/>
    </row>
    <row r="31">
      <c r="A31" s="50" t="s">
        <v>42</v>
      </c>
      <c r="E31" s="48"/>
      <c r="F31" s="52"/>
      <c r="G31" s="48"/>
      <c r="H31" s="48"/>
      <c r="I31" s="48"/>
      <c r="J31" s="48"/>
      <c r="K31" s="48"/>
      <c r="L31" s="48"/>
      <c r="M31" s="48"/>
      <c r="N31" s="52"/>
      <c r="Z31" s="47"/>
      <c r="AA31" s="47"/>
    </row>
    <row r="32">
      <c r="A32" s="50"/>
      <c r="E32" s="43"/>
    </row>
    <row r="33">
      <c r="A33" s="50" t="s">
        <v>43</v>
      </c>
      <c r="E33" s="43">
        <f t="shared" ref="E33:P33" si="8">(E28-E23)+E31</f>
        <v>0</v>
      </c>
      <c r="F33" s="43">
        <f t="shared" si="8"/>
        <v>0</v>
      </c>
      <c r="G33" s="43">
        <f t="shared" si="8"/>
        <v>0</v>
      </c>
      <c r="H33" s="43">
        <f t="shared" si="8"/>
        <v>0</v>
      </c>
      <c r="I33" s="43">
        <f t="shared" si="8"/>
        <v>0</v>
      </c>
      <c r="J33" s="43">
        <f t="shared" si="8"/>
        <v>0</v>
      </c>
      <c r="K33" s="43">
        <f t="shared" si="8"/>
        <v>0</v>
      </c>
      <c r="L33" s="43">
        <f t="shared" si="8"/>
        <v>0</v>
      </c>
      <c r="M33" s="43">
        <f t="shared" si="8"/>
        <v>0</v>
      </c>
      <c r="N33" s="43">
        <f t="shared" si="8"/>
        <v>0</v>
      </c>
      <c r="O33" s="43">
        <f t="shared" si="8"/>
        <v>0</v>
      </c>
      <c r="P33" s="43">
        <f t="shared" si="8"/>
        <v>0</v>
      </c>
    </row>
    <row r="34">
      <c r="I34" s="53"/>
    </row>
    <row r="35">
      <c r="A35" s="26" t="s">
        <v>44</v>
      </c>
      <c r="E35" s="43">
        <f t="shared" ref="E35:P35" si="9">MINUS(E11,D22)</f>
        <v>0</v>
      </c>
      <c r="F35" s="46">
        <f t="shared" si="9"/>
        <v>0</v>
      </c>
      <c r="G35" s="46">
        <f t="shared" si="9"/>
        <v>0</v>
      </c>
      <c r="H35" s="46">
        <f t="shared" si="9"/>
        <v>0</v>
      </c>
      <c r="I35" s="43">
        <f t="shared" si="9"/>
        <v>0</v>
      </c>
      <c r="J35" s="46">
        <f t="shared" si="9"/>
        <v>0</v>
      </c>
      <c r="K35" s="46">
        <f t="shared" si="9"/>
        <v>0</v>
      </c>
      <c r="L35" s="46">
        <f t="shared" si="9"/>
        <v>0</v>
      </c>
      <c r="M35" s="46">
        <f t="shared" si="9"/>
        <v>0</v>
      </c>
      <c r="N35" s="46">
        <f t="shared" si="9"/>
        <v>0</v>
      </c>
      <c r="O35" s="43">
        <f t="shared" si="9"/>
        <v>0</v>
      </c>
      <c r="P35" s="43">
        <f t="shared" si="9"/>
        <v>0</v>
      </c>
    </row>
  </sheetData>
  <dataValidations>
    <dataValidation type="custom" allowBlank="1" showDropDown="1" sqref="C2:C20 E2:H20 J2:N20">
      <formula1>AND(ISNUMBER(C2),(NOT(OR(NOT(ISERROR(DATEVALUE(C2))), AND(ISNUMBER(C2), LEFT(CELL("format", C2))="D")))))</formula1>
    </dataValidation>
  </dataValidations>
  <hyperlinks>
    <hyperlink r:id="rId1" ref="A5"/>
    <hyperlink r:id="rId2" ref="A13"/>
    <hyperlink r:id="rId3" ref="A14"/>
    <hyperlink r:id="rId4" ref="A15"/>
    <hyperlink r:id="rId5" ref="A16"/>
  </hyperlinks>
  <drawing r:id="rId6"/>
  <tableParts count="1">
    <tablePart r:id="rId8"/>
  </tableParts>
</worksheet>
</file>